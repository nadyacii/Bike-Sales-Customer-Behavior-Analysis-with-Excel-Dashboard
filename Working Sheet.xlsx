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portfolio data analyst\excel\bike sales\"/>
    </mc:Choice>
  </mc:AlternateContent>
  <xr:revisionPtr revIDLastSave="0" documentId="13_ncr:1_{7483A209-4B27-47C7-BB85-473E4F1707BD}" xr6:coauthVersionLast="47" xr6:coauthVersionMax="47" xr10:uidLastSave="{00000000-0000-0000-0000-000000000000}"/>
  <bookViews>
    <workbookView xWindow="-108" yWindow="-108" windowWidth="23256" windowHeight="12456" firstSheet="1" activeTab="1" xr2:uid="{00000000-000D-0000-FFFF-FFFF00000000}"/>
  </bookViews>
  <sheets>
    <sheet name="Bike Buyers (raw data)" sheetId="1" state="hidden" r:id="rId1"/>
    <sheet name="Working Sheet" sheetId="2" r:id="rId2"/>
    <sheet name="Pivot Table" sheetId="3" state="hidden" r:id="rId3"/>
    <sheet name="Dashboard" sheetId="4" state="hidden" r:id="rId4"/>
  </sheets>
  <definedNames>
    <definedName name="_xlnm._FilterDatabase" localSheetId="0" hidden="1">'Bike Buyers (raw data)'!$A$1:$M$1001</definedName>
    <definedName name="_xlnm._FilterDatabase" localSheetId="1" hidden="1">'Working Sheet'!$A$1:$N$1001</definedName>
    <definedName name="_xlcn.WorksheetConnection_WorkingSheetA1N1001" hidden="1">'Working Sheet'!$A$1:$N$1001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N$1001"/>
        </x15:modelTables>
      </x15:dataModel>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O7" i="4"/>
  <c r="F7" i="4"/>
  <c r="B7" i="4"/>
  <c r="K7"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8FFE3C-9D06-4480-9638-FC933932BD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4D2692-FE96-46E8-A9DF-5FF3510172E9}" name="WorksheetConnection_Working Sheet!$A$1:$N$1001" type="102" refreshedVersion="8" minRefreshableVersion="5">
    <extLst>
      <ext xmlns:x15="http://schemas.microsoft.com/office/spreadsheetml/2010/11/main" uri="{DE250136-89BD-433C-8126-D09CA5730AF9}">
        <x15:connection id="Range" autoDelete="1">
          <x15:rangePr sourceName="_xlcn.WorksheetConnection_WorkingSheetA1N1001"/>
        </x15:connection>
      </ext>
    </extLst>
  </connection>
</connections>
</file>

<file path=xl/sharedStrings.xml><?xml version="1.0" encoding="utf-8"?>
<sst xmlns="http://schemas.openxmlformats.org/spreadsheetml/2006/main" count="16314" uniqueCount="60">
  <si>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</si>
  <si>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</si>
  <si>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</si>
  <si>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</si>
  <si>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</si>
  <si>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</si>
  <si>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</si>
  <si>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</si>
  <si>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</si>
  <si>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</si>
  <si>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</si>
  <si>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</si>
  <si>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</si>
  <si>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</si>
  <si>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</si>
  <si>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</si>
  <si>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</si>
  <si>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</si>
  <si>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</si>
  <si>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</si>
  <si>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</si>
  <si>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</si>
  <si>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</si>
  <si>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</si>
  <si>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</si>
  <si>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</si>
  <si>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</si>
  <si>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</si>
  <si>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</si>
  <si>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</si>
  <si>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</si>
  <si>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</si>
  <si>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</si>
  <si>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</si>
  <si>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</si>
  <si>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</si>
  <si>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</si>
  <si>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</si>
  <si>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</si>
  <si>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</si>
  <si>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</si>
  <si>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Brackets</t>
  </si>
  <si>
    <t>Row Labels</t>
  </si>
  <si>
    <t>Grand Total</t>
  </si>
  <si>
    <t>Column Labels</t>
  </si>
  <si>
    <t>Count of Purchased Bike</t>
  </si>
  <si>
    <t>Adolescent</t>
  </si>
  <si>
    <t>Middle Age</t>
  </si>
  <si>
    <t>Old</t>
  </si>
  <si>
    <t>Average of Income</t>
  </si>
  <si>
    <t>Count of ID</t>
  </si>
  <si>
    <t>Total Customers</t>
  </si>
  <si>
    <t>Bike Buyers</t>
  </si>
  <si>
    <t>Purchase Rate</t>
  </si>
  <si>
    <t>Average Income</t>
  </si>
  <si>
    <t>Avg Income Per Purchase</t>
  </si>
  <si>
    <t>Bike Purchase by Age Brackets</t>
  </si>
  <si>
    <t>Average Income by Purchase Bike</t>
  </si>
  <si>
    <t>Bike Purchase by Occupation</t>
  </si>
  <si>
    <t>Bike Purchase by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</si>
</sst>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u/>
      <sz val="11"/>
      <color theme="1"/>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horizontal="center" vertical="center"/>
    </xf>
    <xf numFmtId="0" fontId="0" fillId="0" borderId="11" xfId="0" applyBorder="1" applyAlignment="1">
      <alignment horizontal="center" vertical="center"/>
    </xf>
    <xf numFmtId="166" fontId="0" fillId="0" borderId="11" xfId="0" applyNumberFormat="1" applyBorder="1" applyAlignment="1">
      <alignment horizontal="center" vertical="center"/>
    </xf>
    <xf numFmtId="165" fontId="0" fillId="0" borderId="11"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"$"#,##0</c:formatCode>
                <c:ptCount val="2"/>
                <c:pt idx="0">
                  <c:v>53440</c:v>
                </c:pt>
                <c:pt idx="1">
                  <c:v>56208.178438661707</c:v>
                </c:pt>
              </c:numCache>
            </c:numRef>
          </c:val>
          <c:extLst>
            <c:ext xmlns:c16="http://schemas.microsoft.com/office/drawing/2014/chart" uri="{C3380CC4-5D6E-409C-BE32-E72D297353CC}">
              <c16:uniqueId val="{00000000-A58F-4147-8F79-7A982A490014}"/>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"$"#,##0</c:formatCode>
                <c:ptCount val="2"/>
                <c:pt idx="0">
                  <c:v>55774.058577405856</c:v>
                </c:pt>
                <c:pt idx="1">
                  <c:v>60123.966942148763</c:v>
                </c:pt>
              </c:numCache>
            </c:numRef>
          </c:val>
          <c:extLst>
            <c:ext xmlns:c16="http://schemas.microsoft.com/office/drawing/2014/chart" uri="{C3380CC4-5D6E-409C-BE32-E72D297353CC}">
              <c16:uniqueId val="{00000001-A58F-4147-8F79-7A982A490014}"/>
            </c:ext>
          </c:extLst>
        </c:ser>
        <c:dLbls>
          <c:showLegendKey val="0"/>
          <c:showVal val="0"/>
          <c:showCatName val="0"/>
          <c:showSerName val="0"/>
          <c:showPercent val="0"/>
          <c:showBubbleSize val="0"/>
        </c:dLbls>
        <c:gapWidth val="219"/>
        <c:overlap val="-27"/>
        <c:axId val="629641679"/>
        <c:axId val="629656079"/>
      </c:barChart>
      <c:catAx>
        <c:axId val="6296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6079"/>
        <c:crosses val="autoZero"/>
        <c:auto val="1"/>
        <c:lblAlgn val="ctr"/>
        <c:lblOffset val="100"/>
        <c:noMultiLvlLbl val="0"/>
      </c:catAx>
      <c:valAx>
        <c:axId val="62965607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41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Age Brackets</a:t>
            </a:r>
          </a:p>
        </c:rich>
      </c:tx>
      <c:layout>
        <c:manualLayout>
          <c:xMode val="edge"/>
          <c:yMode val="edge"/>
          <c:x val="0.1635647090766798"/>
          <c:y val="0.12768463377441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Table'!$B$22:$B$25</c:f>
              <c:numCache>
                <c:formatCode>General</c:formatCode>
                <c:ptCount val="3"/>
                <c:pt idx="0">
                  <c:v>71</c:v>
                </c:pt>
                <c:pt idx="1">
                  <c:v>318</c:v>
                </c:pt>
                <c:pt idx="2">
                  <c:v>130</c:v>
                </c:pt>
              </c:numCache>
            </c:numRef>
          </c:val>
          <c:extLst>
            <c:ext xmlns:c16="http://schemas.microsoft.com/office/drawing/2014/chart" uri="{C3380CC4-5D6E-409C-BE32-E72D297353CC}">
              <c16:uniqueId val="{00000000-8427-4360-87FE-A9AD028FBFD1}"/>
            </c:ext>
          </c:extLst>
        </c:ser>
        <c:ser>
          <c:idx val="1"/>
          <c:order val="1"/>
          <c:tx>
            <c:strRef>
              <c:f>'Pivot Table'!$C$20:$C$21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Table'!$C$22:$C$25</c:f>
              <c:numCache>
                <c:formatCode>General</c:formatCode>
                <c:ptCount val="3"/>
                <c:pt idx="0">
                  <c:v>39</c:v>
                </c:pt>
                <c:pt idx="1">
                  <c:v>383</c:v>
                </c:pt>
                <c:pt idx="2">
                  <c:v>59</c:v>
                </c:pt>
              </c:numCache>
            </c:numRef>
          </c:val>
          <c:extLst>
            <c:ext xmlns:c16="http://schemas.microsoft.com/office/drawing/2014/chart" uri="{C3380CC4-5D6E-409C-BE32-E72D297353CC}">
              <c16:uniqueId val="{00000001-8427-4360-87FE-A9AD028FBFD1}"/>
            </c:ext>
          </c:extLst>
        </c:ser>
        <c:dLbls>
          <c:dLblPos val="outEnd"/>
          <c:showLegendKey val="0"/>
          <c:showVal val="1"/>
          <c:showCatName val="0"/>
          <c:showSerName val="0"/>
          <c:showPercent val="0"/>
          <c:showBubbleSize val="0"/>
        </c:dLbls>
        <c:gapWidth val="182"/>
        <c:axId val="86789519"/>
        <c:axId val="86786639"/>
      </c:barChart>
      <c:catAx>
        <c:axId val="867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6639"/>
        <c:crosses val="autoZero"/>
        <c:auto val="1"/>
        <c:lblAlgn val="ctr"/>
        <c:lblOffset val="100"/>
        <c:noMultiLvlLbl val="0"/>
      </c:catAx>
      <c:valAx>
        <c:axId val="8678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Commute Distant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Table'!$B$50:$B$55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3D9-421D-B18D-EB92668A7AF9}"/>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Table'!$C$50:$C$55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3D9-421D-B18D-EB92668A7AF9}"/>
            </c:ext>
          </c:extLst>
        </c:ser>
        <c:dLbls>
          <c:showLegendKey val="0"/>
          <c:showVal val="0"/>
          <c:showCatName val="0"/>
          <c:showSerName val="0"/>
          <c:showPercent val="0"/>
          <c:showBubbleSize val="0"/>
        </c:dLbls>
        <c:marker val="1"/>
        <c:smooth val="0"/>
        <c:axId val="629662799"/>
        <c:axId val="629659439"/>
      </c:lineChart>
      <c:catAx>
        <c:axId val="6296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9439"/>
        <c:crosses val="autoZero"/>
        <c:auto val="1"/>
        <c:lblAlgn val="ctr"/>
        <c:lblOffset val="100"/>
        <c:noMultiLvlLbl val="0"/>
      </c:catAx>
      <c:valAx>
        <c:axId val="62965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Purchase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Table'!$A$36:$A$38</c:f>
              <c:strCache>
                <c:ptCount val="2"/>
                <c:pt idx="0">
                  <c:v>No</c:v>
                </c:pt>
                <c:pt idx="1">
                  <c:v>Yes</c:v>
                </c:pt>
              </c:strCache>
            </c:strRef>
          </c:cat>
          <c:val>
            <c:numRef>
              <c:f>'Pivot Table'!$B$36:$B$38</c:f>
              <c:numCache>
                <c:formatCode>"$"#,##0</c:formatCode>
                <c:ptCount val="2"/>
                <c:pt idx="0">
                  <c:v>54874.759152215796</c:v>
                </c:pt>
                <c:pt idx="1">
                  <c:v>57962.577962577961</c:v>
                </c:pt>
              </c:numCache>
            </c:numRef>
          </c:val>
          <c:extLst>
            <c:ext xmlns:c16="http://schemas.microsoft.com/office/drawing/2014/chart" uri="{C3380CC4-5D6E-409C-BE32-E72D297353CC}">
              <c16:uniqueId val="{00000000-7D8D-4D79-9DD9-B090B001215D}"/>
            </c:ext>
          </c:extLst>
        </c:ser>
        <c:dLbls>
          <c:dLblPos val="outEnd"/>
          <c:showLegendKey val="0"/>
          <c:showVal val="1"/>
          <c:showCatName val="0"/>
          <c:showSerName val="0"/>
          <c:showPercent val="0"/>
          <c:showBubbleSize val="0"/>
        </c:dLbls>
        <c:gapWidth val="219"/>
        <c:overlap val="-27"/>
        <c:axId val="751407711"/>
        <c:axId val="751404831"/>
      </c:barChart>
      <c:catAx>
        <c:axId val="7514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4831"/>
        <c:crosses val="autoZero"/>
        <c:auto val="1"/>
        <c:lblAlgn val="ctr"/>
        <c:lblOffset val="100"/>
        <c:noMultiLvlLbl val="0"/>
      </c:catAx>
      <c:valAx>
        <c:axId val="75140483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Table'!$B$63:$B$64</c:f>
              <c:strCache>
                <c:ptCount val="1"/>
                <c:pt idx="0">
                  <c:v>No</c:v>
                </c:pt>
              </c:strCache>
            </c:strRef>
          </c:tx>
          <c:spPr>
            <a:solidFill>
              <a:schemeClr val="accent1"/>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Table'!$B$65:$B$70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4843-4AF3-A51A-146CEFB27A80}"/>
            </c:ext>
          </c:extLst>
        </c:ser>
        <c:ser>
          <c:idx val="1"/>
          <c:order val="1"/>
          <c:tx>
            <c:strRef>
              <c:f>'Pivot Table'!$C$63:$C$64</c:f>
              <c:strCache>
                <c:ptCount val="1"/>
                <c:pt idx="0">
                  <c:v>Yes</c:v>
                </c:pt>
              </c:strCache>
            </c:strRef>
          </c:tx>
          <c:spPr>
            <a:solidFill>
              <a:schemeClr val="accent2"/>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Table'!$C$65:$C$70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4843-4AF3-A51A-146CEFB27A80}"/>
            </c:ext>
          </c:extLst>
        </c:ser>
        <c:dLbls>
          <c:showLegendKey val="0"/>
          <c:showVal val="0"/>
          <c:showCatName val="0"/>
          <c:showSerName val="0"/>
          <c:showPercent val="0"/>
          <c:showBubbleSize val="0"/>
        </c:dLbls>
        <c:gapWidth val="150"/>
        <c:overlap val="100"/>
        <c:axId val="830540991"/>
        <c:axId val="830537631"/>
      </c:barChart>
      <c:catAx>
        <c:axId val="8305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37631"/>
        <c:crosses val="autoZero"/>
        <c:auto val="1"/>
        <c:lblAlgn val="ctr"/>
        <c:lblOffset val="100"/>
        <c:noMultiLvlLbl val="0"/>
      </c:catAx>
      <c:valAx>
        <c:axId val="83053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Table'!$B$79:$B$80</c:f>
              <c:strCache>
                <c:ptCount val="1"/>
                <c:pt idx="0">
                  <c:v>No</c:v>
                </c:pt>
              </c:strCache>
            </c:strRef>
          </c:tx>
          <c:spPr>
            <a:solidFill>
              <a:schemeClr val="accent1"/>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Table'!$B$81:$B$86</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F61D-4325-837E-DA7761802113}"/>
            </c:ext>
          </c:extLst>
        </c:ser>
        <c:ser>
          <c:idx val="1"/>
          <c:order val="1"/>
          <c:tx>
            <c:strRef>
              <c:f>'Pivot Table'!$C$79:$C$80</c:f>
              <c:strCache>
                <c:ptCount val="1"/>
                <c:pt idx="0">
                  <c:v>Yes</c:v>
                </c:pt>
              </c:strCache>
            </c:strRef>
          </c:tx>
          <c:spPr>
            <a:solidFill>
              <a:schemeClr val="accent2"/>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Table'!$C$81:$C$86</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F61D-4325-837E-DA7761802113}"/>
            </c:ext>
          </c:extLst>
        </c:ser>
        <c:dLbls>
          <c:showLegendKey val="0"/>
          <c:showVal val="0"/>
          <c:showCatName val="0"/>
          <c:showSerName val="0"/>
          <c:showPercent val="0"/>
          <c:showBubbleSize val="0"/>
        </c:dLbls>
        <c:gapWidth val="150"/>
        <c:overlap val="100"/>
        <c:axId val="627787775"/>
        <c:axId val="627788255"/>
      </c:barChart>
      <c:catAx>
        <c:axId val="62778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8255"/>
        <c:crosses val="autoZero"/>
        <c:auto val="1"/>
        <c:lblAlgn val="ctr"/>
        <c:lblOffset val="100"/>
        <c:noMultiLvlLbl val="0"/>
      </c:catAx>
      <c:valAx>
        <c:axId val="62778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"$"#,##0</c:formatCode>
                <c:ptCount val="2"/>
                <c:pt idx="0">
                  <c:v>53440</c:v>
                </c:pt>
                <c:pt idx="1">
                  <c:v>56208.178438661707</c:v>
                </c:pt>
              </c:numCache>
            </c:numRef>
          </c:val>
          <c:extLst>
            <c:ext xmlns:c16="http://schemas.microsoft.com/office/drawing/2014/chart" uri="{C3380CC4-5D6E-409C-BE32-E72D297353CC}">
              <c16:uniqueId val="{00000000-C460-46B7-93F9-459D044D56CF}"/>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"$"#,##0</c:formatCode>
                <c:ptCount val="2"/>
                <c:pt idx="0">
                  <c:v>55774.058577405856</c:v>
                </c:pt>
                <c:pt idx="1">
                  <c:v>60123.966942148763</c:v>
                </c:pt>
              </c:numCache>
            </c:numRef>
          </c:val>
          <c:extLst>
            <c:ext xmlns:c16="http://schemas.microsoft.com/office/drawing/2014/chart" uri="{C3380CC4-5D6E-409C-BE32-E72D297353CC}">
              <c16:uniqueId val="{00000001-C460-46B7-93F9-459D044D56CF}"/>
            </c:ext>
          </c:extLst>
        </c:ser>
        <c:dLbls>
          <c:showLegendKey val="0"/>
          <c:showVal val="0"/>
          <c:showCatName val="0"/>
          <c:showSerName val="0"/>
          <c:showPercent val="0"/>
          <c:showBubbleSize val="0"/>
        </c:dLbls>
        <c:gapWidth val="219"/>
        <c:overlap val="-27"/>
        <c:axId val="629641679"/>
        <c:axId val="629656079"/>
      </c:barChart>
      <c:catAx>
        <c:axId val="6296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6079"/>
        <c:crosses val="autoZero"/>
        <c:auto val="1"/>
        <c:lblAlgn val="ctr"/>
        <c:lblOffset val="100"/>
        <c:noMultiLvlLbl val="0"/>
      </c:catAx>
      <c:valAx>
        <c:axId val="62965607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41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Age Brackets</a:t>
            </a:r>
          </a:p>
        </c:rich>
      </c:tx>
      <c:layout>
        <c:manualLayout>
          <c:xMode val="edge"/>
          <c:yMode val="edge"/>
          <c:x val="0.1635647090766798"/>
          <c:y val="0.12768463377441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Table'!$B$22:$B$25</c:f>
              <c:numCache>
                <c:formatCode>General</c:formatCode>
                <c:ptCount val="3"/>
                <c:pt idx="0">
                  <c:v>71</c:v>
                </c:pt>
                <c:pt idx="1">
                  <c:v>318</c:v>
                </c:pt>
                <c:pt idx="2">
                  <c:v>130</c:v>
                </c:pt>
              </c:numCache>
            </c:numRef>
          </c:val>
          <c:extLst>
            <c:ext xmlns:c16="http://schemas.microsoft.com/office/drawing/2014/chart" uri="{C3380CC4-5D6E-409C-BE32-E72D297353CC}">
              <c16:uniqueId val="{00000000-78DC-4FFF-AEFE-3B9DCC3C2C32}"/>
            </c:ext>
          </c:extLst>
        </c:ser>
        <c:ser>
          <c:idx val="1"/>
          <c:order val="1"/>
          <c:tx>
            <c:strRef>
              <c:f>'Pivot Table'!$C$20:$C$21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Table'!$C$22:$C$25</c:f>
              <c:numCache>
                <c:formatCode>General</c:formatCode>
                <c:ptCount val="3"/>
                <c:pt idx="0">
                  <c:v>39</c:v>
                </c:pt>
                <c:pt idx="1">
                  <c:v>383</c:v>
                </c:pt>
                <c:pt idx="2">
                  <c:v>59</c:v>
                </c:pt>
              </c:numCache>
            </c:numRef>
          </c:val>
          <c:extLst>
            <c:ext xmlns:c16="http://schemas.microsoft.com/office/drawing/2014/chart" uri="{C3380CC4-5D6E-409C-BE32-E72D297353CC}">
              <c16:uniqueId val="{00000001-78DC-4FFF-AEFE-3B9DCC3C2C32}"/>
            </c:ext>
          </c:extLst>
        </c:ser>
        <c:dLbls>
          <c:dLblPos val="outEnd"/>
          <c:showLegendKey val="0"/>
          <c:showVal val="1"/>
          <c:showCatName val="0"/>
          <c:showSerName val="0"/>
          <c:showPercent val="0"/>
          <c:showBubbleSize val="0"/>
        </c:dLbls>
        <c:gapWidth val="182"/>
        <c:axId val="86789519"/>
        <c:axId val="86786639"/>
      </c:barChart>
      <c:catAx>
        <c:axId val="867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6639"/>
        <c:crosses val="autoZero"/>
        <c:auto val="1"/>
        <c:lblAlgn val="ctr"/>
        <c:lblOffset val="100"/>
        <c:noMultiLvlLbl val="0"/>
      </c:catAx>
      <c:valAx>
        <c:axId val="8678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Commute Distant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Table'!$B$50:$B$55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469-438C-BF63-E791197AB97A}"/>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Table'!$C$50:$C$55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469-438C-BF63-E791197AB97A}"/>
            </c:ext>
          </c:extLst>
        </c:ser>
        <c:dLbls>
          <c:showLegendKey val="0"/>
          <c:showVal val="0"/>
          <c:showCatName val="0"/>
          <c:showSerName val="0"/>
          <c:showPercent val="0"/>
          <c:showBubbleSize val="0"/>
        </c:dLbls>
        <c:marker val="1"/>
        <c:smooth val="0"/>
        <c:axId val="629662799"/>
        <c:axId val="629659439"/>
      </c:lineChart>
      <c:catAx>
        <c:axId val="6296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9439"/>
        <c:crosses val="autoZero"/>
        <c:auto val="1"/>
        <c:lblAlgn val="ctr"/>
        <c:lblOffset val="100"/>
        <c:noMultiLvlLbl val="0"/>
      </c:catAx>
      <c:valAx>
        <c:axId val="62965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Purchase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Table'!$A$36:$A$38</c:f>
              <c:strCache>
                <c:ptCount val="2"/>
                <c:pt idx="0">
                  <c:v>No</c:v>
                </c:pt>
                <c:pt idx="1">
                  <c:v>Yes</c:v>
                </c:pt>
              </c:strCache>
            </c:strRef>
          </c:cat>
          <c:val>
            <c:numRef>
              <c:f>'Pivot Table'!$B$36:$B$38</c:f>
              <c:numCache>
                <c:formatCode>"$"#,##0</c:formatCode>
                <c:ptCount val="2"/>
                <c:pt idx="0">
                  <c:v>54874.759152215796</c:v>
                </c:pt>
                <c:pt idx="1">
                  <c:v>57962.577962577961</c:v>
                </c:pt>
              </c:numCache>
            </c:numRef>
          </c:val>
          <c:extLst>
            <c:ext xmlns:c16="http://schemas.microsoft.com/office/drawing/2014/chart" uri="{C3380CC4-5D6E-409C-BE32-E72D297353CC}">
              <c16:uniqueId val="{00000000-DB99-4DA6-8CBC-BB230D556B73}"/>
            </c:ext>
          </c:extLst>
        </c:ser>
        <c:dLbls>
          <c:dLblPos val="outEnd"/>
          <c:showLegendKey val="0"/>
          <c:showVal val="1"/>
          <c:showCatName val="0"/>
          <c:showSerName val="0"/>
          <c:showPercent val="0"/>
          <c:showBubbleSize val="0"/>
        </c:dLbls>
        <c:gapWidth val="219"/>
        <c:overlap val="-27"/>
        <c:axId val="751407711"/>
        <c:axId val="751404831"/>
      </c:barChart>
      <c:catAx>
        <c:axId val="7514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4831"/>
        <c:crosses val="autoZero"/>
        <c:auto val="1"/>
        <c:lblAlgn val="ctr"/>
        <c:lblOffset val="100"/>
        <c:noMultiLvlLbl val="0"/>
      </c:catAx>
      <c:valAx>
        <c:axId val="75140483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Table'!$B$63:$B$64</c:f>
              <c:strCache>
                <c:ptCount val="1"/>
                <c:pt idx="0">
                  <c:v>No</c:v>
                </c:pt>
              </c:strCache>
            </c:strRef>
          </c:tx>
          <c:spPr>
            <a:solidFill>
              <a:schemeClr val="accent1"/>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Table'!$B$65:$B$70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F7EE-448F-80C8-1D71287A23F4}"/>
            </c:ext>
          </c:extLst>
        </c:ser>
        <c:ser>
          <c:idx val="1"/>
          <c:order val="1"/>
          <c:tx>
            <c:strRef>
              <c:f>'Pivot Table'!$C$63:$C$64</c:f>
              <c:strCache>
                <c:ptCount val="1"/>
                <c:pt idx="0">
                  <c:v>Yes</c:v>
                </c:pt>
              </c:strCache>
            </c:strRef>
          </c:tx>
          <c:spPr>
            <a:solidFill>
              <a:schemeClr val="accent2"/>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Table'!$C$65:$C$70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F7EE-448F-80C8-1D71287A23F4}"/>
            </c:ext>
          </c:extLst>
        </c:ser>
        <c:dLbls>
          <c:showLegendKey val="0"/>
          <c:showVal val="0"/>
          <c:showCatName val="0"/>
          <c:showSerName val="0"/>
          <c:showPercent val="0"/>
          <c:showBubbleSize val="0"/>
        </c:dLbls>
        <c:gapWidth val="150"/>
        <c:overlap val="100"/>
        <c:axId val="830540991"/>
        <c:axId val="830537631"/>
      </c:barChart>
      <c:catAx>
        <c:axId val="8305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37631"/>
        <c:crosses val="autoZero"/>
        <c:auto val="1"/>
        <c:lblAlgn val="ctr"/>
        <c:lblOffset val="100"/>
        <c:noMultiLvlLbl val="0"/>
      </c:catAx>
      <c:valAx>
        <c:axId val="83053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Table'!$B$79:$B$80</c:f>
              <c:strCache>
                <c:ptCount val="1"/>
                <c:pt idx="0">
                  <c:v>No</c:v>
                </c:pt>
              </c:strCache>
            </c:strRef>
          </c:tx>
          <c:spPr>
            <a:solidFill>
              <a:schemeClr val="accent1"/>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Table'!$B$81:$B$86</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3B8C-42BF-99F8-3401A9E3CB5C}"/>
            </c:ext>
          </c:extLst>
        </c:ser>
        <c:ser>
          <c:idx val="1"/>
          <c:order val="1"/>
          <c:tx>
            <c:strRef>
              <c:f>'Pivot Table'!$C$79:$C$80</c:f>
              <c:strCache>
                <c:ptCount val="1"/>
                <c:pt idx="0">
                  <c:v>Yes</c:v>
                </c:pt>
              </c:strCache>
            </c:strRef>
          </c:tx>
          <c:spPr>
            <a:solidFill>
              <a:schemeClr val="accent2"/>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Table'!$C$81:$C$86</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3B8C-42BF-99F8-3401A9E3CB5C}"/>
            </c:ext>
          </c:extLst>
        </c:ser>
        <c:dLbls>
          <c:showLegendKey val="0"/>
          <c:showVal val="0"/>
          <c:showCatName val="0"/>
          <c:showSerName val="0"/>
          <c:showPercent val="0"/>
          <c:showBubbleSize val="0"/>
        </c:dLbls>
        <c:gapWidth val="150"/>
        <c:overlap val="100"/>
        <c:axId val="627787775"/>
        <c:axId val="627788255"/>
      </c:barChart>
      <c:catAx>
        <c:axId val="62778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8255"/>
        <c:crosses val="autoZero"/>
        <c:auto val="1"/>
        <c:lblAlgn val="ctr"/>
        <c:lblOffset val="100"/>
        <c:noMultiLvlLbl val="0"/>
      </c:catAx>
      <c:valAx>
        <c:axId val="62778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704850</xdr:colOff>
      <xdr:row>1</xdr:row>
      <xdr:rowOff>68580</xdr:rowOff>
    </xdr:from>
    <xdr:to>
      <xdr:col>6</xdr:col>
      <xdr:colOff>1554480</xdr:colOff>
      <xdr:row>14</xdr:row>
      <xdr:rowOff>121920</xdr:rowOff>
    </xdr:to>
    <xdr:graphicFrame macro="">
      <xdr:nvGraphicFramePr>
        <xdr:cNvPr id="2" name="Chart 1">
          <a:extLst>
            <a:ext uri="{FF2B5EF4-FFF2-40B4-BE49-F238E27FC236}">
              <a16:creationId xmlns:a16="http://schemas.microsoft.com/office/drawing/2014/main" id="{B2FD5433-2E5C-8C21-D832-6872B39CA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716280</xdr:colOff>
      <xdr:row>15</xdr:row>
      <xdr:rowOff>171450</xdr:rowOff>
    </xdr:from>
    <xdr:to>
      <xdr:col>6</xdr:col>
      <xdr:colOff>1577340</xdr:colOff>
      <xdr:row>29</xdr:row>
      <xdr:rowOff>7620</xdr:rowOff>
    </xdr:to>
    <xdr:graphicFrame macro="">
      <xdr:nvGraphicFramePr>
        <xdr:cNvPr id="3" name="Chart 2">
          <a:extLst>
            <a:ext uri="{FF2B5EF4-FFF2-40B4-BE49-F238E27FC236}">
              <a16:creationId xmlns:a16="http://schemas.microsoft.com/office/drawing/2014/main" id="{ADEC4799-900A-C0F1-8A49-9B3620E32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746760</xdr:colOff>
      <xdr:row>43</xdr:row>
      <xdr:rowOff>95250</xdr:rowOff>
    </xdr:from>
    <xdr:to>
      <xdr:col>6</xdr:col>
      <xdr:colOff>1630680</xdr:colOff>
      <xdr:row>57</xdr:row>
      <xdr:rowOff>0</xdr:rowOff>
    </xdr:to>
    <xdr:graphicFrame macro="">
      <xdr:nvGraphicFramePr>
        <xdr:cNvPr id="4" name="Chart 3">
          <a:extLst>
            <a:ext uri="{FF2B5EF4-FFF2-40B4-BE49-F238E27FC236}">
              <a16:creationId xmlns:a16="http://schemas.microsoft.com/office/drawing/2014/main" id="{48965849-B10C-6840-56F8-8B0E8661C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708660</xdr:colOff>
      <xdr:row>30</xdr:row>
      <xdr:rowOff>3810</xdr:rowOff>
    </xdr:from>
    <xdr:to>
      <xdr:col>6</xdr:col>
      <xdr:colOff>1630680</xdr:colOff>
      <xdr:row>41</xdr:row>
      <xdr:rowOff>7620</xdr:rowOff>
    </xdr:to>
    <xdr:graphicFrame macro="">
      <xdr:nvGraphicFramePr>
        <xdr:cNvPr id="5" name="Chart 4">
          <a:extLst>
            <a:ext uri="{FF2B5EF4-FFF2-40B4-BE49-F238E27FC236}">
              <a16:creationId xmlns:a16="http://schemas.microsoft.com/office/drawing/2014/main" id="{6AEA2967-93C1-A636-879A-F4EB61907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762000</xdr:colOff>
      <xdr:row>58</xdr:row>
      <xdr:rowOff>179070</xdr:rowOff>
    </xdr:from>
    <xdr:to>
      <xdr:col>7</xdr:col>
      <xdr:colOff>251460</xdr:colOff>
      <xdr:row>73</xdr:row>
      <xdr:rowOff>30480</xdr:rowOff>
    </xdr:to>
    <xdr:graphicFrame macro="">
      <xdr:nvGraphicFramePr>
        <xdr:cNvPr id="6" name="Chart 5">
          <a:extLst>
            <a:ext uri="{FF2B5EF4-FFF2-40B4-BE49-F238E27FC236}">
              <a16:creationId xmlns:a16="http://schemas.microsoft.com/office/drawing/2014/main" id="{A0875831-2448-EADC-3122-13E9B3CCD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754380</xdr:colOff>
      <xdr:row>74</xdr:row>
      <xdr:rowOff>171450</xdr:rowOff>
    </xdr:from>
    <xdr:to>
      <xdr:col>7</xdr:col>
      <xdr:colOff>281940</xdr:colOff>
      <xdr:row>88</xdr:row>
      <xdr:rowOff>121920</xdr:rowOff>
    </xdr:to>
    <xdr:graphicFrame macro="">
      <xdr:nvGraphicFramePr>
        <xdr:cNvPr id="7" name="Chart 6">
          <a:extLst>
            <a:ext uri="{FF2B5EF4-FFF2-40B4-BE49-F238E27FC236}">
              <a16:creationId xmlns:a16="http://schemas.microsoft.com/office/drawing/2014/main" id="{4450570E-7288-6D83-DEC7-EFDE6FE40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15239</xdr:rowOff>
    </xdr:from>
    <xdr:to>
      <xdr:col>16</xdr:col>
      <xdr:colOff>933</xdr:colOff>
      <xdr:row>3</xdr:row>
      <xdr:rowOff>108856</xdr:rowOff>
    </xdr:to>
    <xdr:sp macro="" textlink="">
      <xdr:nvSpPr>
        <xdr:cNvPr id="2" name="Rectangle 1">
          <a:extLst>
            <a:ext uri="{FF2B5EF4-FFF2-40B4-BE49-F238E27FC236}">
              <a16:creationId xmlns:a16="http://schemas.microsoft.com/office/drawing/2014/main" id="{162FE392-F70E-26E3-63BB-B12AB8781019}"/>
            </a:ext>
          </a:extLst>
        </xdr:cNvPr>
        <xdr:cNvSpPr/>
      </xdr:nvSpPr>
      <xdr:spPr>
        <a:xfrm>
          <a:off x="15240" y="15239"/>
          <a:ext cx="14137122" cy="630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000" b="1"/>
            <a:t>Bike</a:t>
          </a:r>
          <a:r>
            <a:rPr lang="en-AU" sz="3000" b="1" baseline="0"/>
            <a:t> Sales Dashboard</a:t>
          </a:r>
          <a:endParaRPr lang="en-AU" sz="3000" b="1"/>
        </a:p>
      </xdr:txBody>
    </xdr:sp>
    <xdr:clientData/>
  </xdr:twoCellAnchor>
  <xdr:twoCellAnchor>
    <xdr:from>
      <xdr:col>1</xdr:col>
      <xdr:colOff>1409700</xdr:colOff>
      <xdr:row>8</xdr:row>
      <xdr:rowOff>171450</xdr:rowOff>
    </xdr:from>
    <xdr:to>
      <xdr:col>5</xdr:col>
      <xdr:colOff>1559700</xdr:colOff>
      <xdr:row>23</xdr:row>
      <xdr:rowOff>62550</xdr:rowOff>
    </xdr:to>
    <xdr:graphicFrame macro="">
      <xdr:nvGraphicFramePr>
        <xdr:cNvPr id="3" name="Chart 2">
          <a:extLst>
            <a:ext uri="{FF2B5EF4-FFF2-40B4-BE49-F238E27FC236}">
              <a16:creationId xmlns:a16="http://schemas.microsoft.com/office/drawing/2014/main" id="{A6BB1EDD-D039-4F03-82D0-F398EADC0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201930</xdr:colOff>
      <xdr:row>8</xdr:row>
      <xdr:rowOff>171450</xdr:rowOff>
    </xdr:from>
    <xdr:to>
      <xdr:col>16</xdr:col>
      <xdr:colOff>1410</xdr:colOff>
      <xdr:row>23</xdr:row>
      <xdr:rowOff>62550</xdr:rowOff>
    </xdr:to>
    <xdr:graphicFrame macro="">
      <xdr:nvGraphicFramePr>
        <xdr:cNvPr id="4" name="Chart 3">
          <a:extLst>
            <a:ext uri="{FF2B5EF4-FFF2-40B4-BE49-F238E27FC236}">
              <a16:creationId xmlns:a16="http://schemas.microsoft.com/office/drawing/2014/main" id="{35470600-7DE1-46EF-AC6C-699068A5A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1819275</xdr:colOff>
      <xdr:row>8</xdr:row>
      <xdr:rowOff>171450</xdr:rowOff>
    </xdr:from>
    <xdr:to>
      <xdr:col>10</xdr:col>
      <xdr:colOff>1900695</xdr:colOff>
      <xdr:row>23</xdr:row>
      <xdr:rowOff>62550</xdr:rowOff>
    </xdr:to>
    <xdr:graphicFrame macro="">
      <xdr:nvGraphicFramePr>
        <xdr:cNvPr id="5" name="Chart 4">
          <a:extLst>
            <a:ext uri="{FF2B5EF4-FFF2-40B4-BE49-F238E27FC236}">
              <a16:creationId xmlns:a16="http://schemas.microsoft.com/office/drawing/2014/main" id="{12F72B9D-F21D-4123-8054-B802D9DBC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1822717</xdr:colOff>
      <xdr:row>24</xdr:row>
      <xdr:rowOff>177595</xdr:rowOff>
    </xdr:from>
    <xdr:to>
      <xdr:col>10</xdr:col>
      <xdr:colOff>1904137</xdr:colOff>
      <xdr:row>39</xdr:row>
      <xdr:rowOff>65745</xdr:rowOff>
    </xdr:to>
    <xdr:graphicFrame macro="">
      <xdr:nvGraphicFramePr>
        <xdr:cNvPr id="6" name="Chart 5">
          <a:extLst>
            <a:ext uri="{FF2B5EF4-FFF2-40B4-BE49-F238E27FC236}">
              <a16:creationId xmlns:a16="http://schemas.microsoft.com/office/drawing/2014/main" id="{846F31E7-11E0-454E-9863-BB1A8E2AD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1414616</xdr:colOff>
      <xdr:row>24</xdr:row>
      <xdr:rowOff>177595</xdr:rowOff>
    </xdr:from>
    <xdr:to>
      <xdr:col>5</xdr:col>
      <xdr:colOff>1564616</xdr:colOff>
      <xdr:row>39</xdr:row>
      <xdr:rowOff>65745</xdr:rowOff>
    </xdr:to>
    <xdr:graphicFrame macro="">
      <xdr:nvGraphicFramePr>
        <xdr:cNvPr id="7" name="Chart 6">
          <a:extLst>
            <a:ext uri="{FF2B5EF4-FFF2-40B4-BE49-F238E27FC236}">
              <a16:creationId xmlns:a16="http://schemas.microsoft.com/office/drawing/2014/main" id="{4A16AAE1-1DFF-43D5-A48B-52D6A7CCE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201930</xdr:colOff>
      <xdr:row>24</xdr:row>
      <xdr:rowOff>177595</xdr:rowOff>
    </xdr:from>
    <xdr:to>
      <xdr:col>16</xdr:col>
      <xdr:colOff>1410</xdr:colOff>
      <xdr:row>39</xdr:row>
      <xdr:rowOff>68695</xdr:rowOff>
    </xdr:to>
    <xdr:graphicFrame macro="">
      <xdr:nvGraphicFramePr>
        <xdr:cNvPr id="8" name="Chart 7">
          <a:extLst>
            <a:ext uri="{FF2B5EF4-FFF2-40B4-BE49-F238E27FC236}">
              <a16:creationId xmlns:a16="http://schemas.microsoft.com/office/drawing/2014/main" id="{C0F032D6-28DB-4D1F-AB4C-8F7CABD30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9</xdr:row>
      <xdr:rowOff>7621</xdr:rowOff>
    </xdr:from>
    <xdr:to>
      <xdr:col>1</xdr:col>
      <xdr:colOff>1173480</xdr:colOff>
      <xdr:row>14</xdr:row>
      <xdr:rowOff>83820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6E32F7C-28D5-FF12-1927-DEB84C4A9E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068131"/>
              <a:ext cx="1507827" cy="97038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71121</xdr:rowOff>
    </xdr:from>
    <xdr:to>
      <xdr:col>1</xdr:col>
      <xdr:colOff>1158240</xdr:colOff>
      <xdr:row>20</xdr:row>
      <xdr:rowOff>154940</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5BC45296-49F6-528A-5A1C-A415FB72C53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3204652"/>
              <a:ext cx="1492587" cy="97800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106681</xdr:rowOff>
    </xdr:from>
    <xdr:to>
      <xdr:col>1</xdr:col>
      <xdr:colOff>1150620</xdr:colOff>
      <xdr:row>39</xdr:row>
      <xdr:rowOff>60960</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B40BDDC8-749E-F84F-8721-83F52AA1008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5743926"/>
              <a:ext cx="1484967" cy="174264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142241</xdr:rowOff>
    </xdr:from>
    <xdr:to>
      <xdr:col>1</xdr:col>
      <xdr:colOff>1158240</xdr:colOff>
      <xdr:row>28</xdr:row>
      <xdr:rowOff>119380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8A831C8-C3AD-E6CC-0EC3-D5238F1E93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348792"/>
              <a:ext cx="1492587" cy="122899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87943171297" backgroundQuery="1" createdVersion="8" refreshedVersion="8" minRefreshableVersion="3" recordCount="0" supportSubquery="1" supportAdvancedDrill="1" xr:uid="{0526607F-C3F0-46B7-A163-B2DAFB7ABF0C}">
  <cacheSource type="external" connectionId="1"/>
  <cacheFields count="1">
    <cacheField name="[Measures].[Count of ID]" caption="Count of ID" numFmtId="0" hierarchy="20"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88813541668" backgroundQuery="1" createdVersion="8" refreshedVersion="8" minRefreshableVersion="3" recordCount="0" supportSubquery="1" supportAdvancedDrill="1" xr:uid="{E7BA5737-954B-4AC5-8563-469A20F9CE02}">
  <cacheSource type="external" connectionId="1"/>
  <cacheFields count="2">
    <cacheField name="[Range].[Purchased Bike].[Purchased Bike]" caption="Purchased Bike" numFmtId="0" hierarchy="13" level="1">
      <sharedItems count="2">
        <s v="No"/>
        <s v="Yes"/>
      </sharedItems>
    </cacheField>
    <cacheField name="[Measures].[Count of Purchased Bike]" caption="Count of Purchased Bike" numFmtId="0" hierarchy="16"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90007638886" backgroundQuery="1" createdVersion="8" refreshedVersion="8" minRefreshableVersion="3" recordCount="0" supportSubquery="1" supportAdvancedDrill="1" xr:uid="{590448BB-577E-485E-83E9-CFDD95556398}">
  <cacheSource type="external" connectionId="1"/>
  <cacheFields count="1">
    <cacheField name="[Measures].[Average of Income]" caption="Average of Income" numFmtId="0" hierarchy="18"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8449076" backgroundQuery="1" createdVersion="8" refreshedVersion="8" minRefreshableVersion="3" recordCount="0" supportSubquery="1" supportAdvancedDrill="1" xr:uid="{95F24280-2903-46F9-96DF-B67FA452BC14}">
  <cacheSource type="external" connectionId="1"/>
  <cacheFields count="4">
    <cacheField name="[Range].[Gender].[Gender]" caption="Gender" numFmtId="0" hierarchy="2" level="1">
      <sharedItems count="2">
        <s v="Female"/>
        <s v="Male"/>
      </sharedItems>
    </cacheField>
    <cacheField name="[Range].[Purchased Bike].[Purchased Bike]" caption="Purchased Bike" numFmtId="0" hierarchy="13" level="1">
      <sharedItems count="2">
        <s v="No"/>
        <s v="Yes"/>
      </sharedItems>
    </cacheField>
    <cacheField name="[Measures].[Average of Income]" caption="Average of Income" numFmtId="0" hierarchy="18"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2"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3587965" backgroundQuery="1" createdVersion="8" refreshedVersion="8" minRefreshableVersion="3" recordCount="0" supportSubquery="1" supportAdvancedDrill="1" xr:uid="{866F36FC-FF77-4544-AACE-A26CD97F8F2C}">
  <cacheSource type="external" connectionId="1"/>
  <cacheFields count="4">
    <cacheField name="[Range].[Purchased Bike].[Purchased Bike]" caption="Purchased Bike" numFmtId="0" hierarchy="13" level="1">
      <sharedItems count="2">
        <s v="No"/>
        <s v="Yes"/>
      </sharedItems>
    </cacheField>
    <cacheField name="[Range].[Age Brackets].[Age Brackets]" caption="Age Brackets" numFmtId="0" hierarchy="12" level="1">
      <sharedItems count="3">
        <s v="Adolescent"/>
        <s v="Middle Age"/>
        <s v="Old"/>
      </sharedItems>
    </cacheField>
    <cacheField name="[Measures].[Count of Purchased Bike]" caption="Count of Purchased Bike" numFmtId="0" hierarchy="16"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fieldsUsage count="2">
        <fieldUsage x="-1"/>
        <fieldUsage x="1"/>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4166665" backgroundQuery="1" createdVersion="8" refreshedVersion="8" minRefreshableVersion="3" recordCount="0" supportSubquery="1" supportAdvancedDrill="1" xr:uid="{464436A6-0852-4F5A-AFD8-8381F7CEFB1A}">
  <cacheSource type="external" connectionId="1"/>
  <cacheFields count="3">
    <cacheField name="[Range].[Purchased Bike].[Purchased Bike]" caption="Purchased Bike" numFmtId="0" hierarchy="13" level="1">
      <sharedItems count="2">
        <s v="No"/>
        <s v="Yes"/>
      </sharedItems>
    </cacheField>
    <cacheField name="[Measures].[Average of Income]" caption="Average of Income" numFmtId="0" hierarchy="18"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2"/>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5555558" backgroundQuery="1" createdVersion="8" refreshedVersion="8" minRefreshableVersion="3" recordCount="0" supportSubquery="1" supportAdvancedDrill="1" xr:uid="{25EDCFC4-D8DD-4B14-ABF5-6B741B831D59}">
  <cacheSource type="external" connectionId="1"/>
  <cacheFields count="4">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Commute Distance].[Commute Distance]" caption="Commute Distance" numFmtId="0" hierarchy="9" level="1">
      <sharedItems count="5">
        <s v="0-1 Miles"/>
        <s v="1-2 Miles"/>
        <s v="2-5 Miles"/>
        <s v="5-10 Miles"/>
        <s v="More Than 10 Miles"/>
      </sharedItems>
    </cacheField>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6481482" backgroundQuery="1" createdVersion="8" refreshedVersion="8" minRefreshableVersion="3" recordCount="0" supportSubquery="1" supportAdvancedDrill="1" xr:uid="{0D528D3A-C406-4DE5-8C42-F45003CA189D}">
  <cacheSource type="external" connectionId="1"/>
  <cacheFields count="4">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Occupation].[Occupation]" caption="Occupation" numFmtId="0" hierarchy="6" level="1">
      <sharedItems count="5">
        <s v="Clerical"/>
        <s v="Management"/>
        <s v="Manual"/>
        <s v="Professional"/>
        <s v="Skilled Manual"/>
      </sharedItems>
    </cacheField>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2" memberValueDatatype="130" unbalanced="0">
      <fieldsUsage count="2">
        <fieldUsage x="-1"/>
        <fieldUsage x="2"/>
      </fieldsUsage>
    </cacheHierarchy>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7407406" backgroundQuery="1" createdVersion="8" refreshedVersion="8" minRefreshableVersion="3" recordCount="0" supportSubquery="1" supportAdvancedDrill="1" xr:uid="{E47C1A4F-E77C-45C0-BFB3-E80C2BB6FDA3}">
  <cacheSource type="external" connectionId="1"/>
  <cacheFields count="3">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Education].[Education]" caption="Education" numFmtId="0" hierarchy="5" level="1">
      <sharedItems count="5">
        <s v="Bachelors"/>
        <s v="Graduate Degree"/>
        <s v="High School"/>
        <s v="Partial College"/>
        <s v="Partial High School"/>
      </sharedItems>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2"/>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1317129629" backgroundQuery="1" createdVersion="3" refreshedVersion="8" minRefreshableVersion="3" recordCount="0" supportSubquery="1" supportAdvancedDrill="1" xr:uid="{B1B293C9-9611-491F-8553-37E281A7E6DD}">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0799307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6E0CD-C946-4725-A437-37189B93FA83}"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3:D70"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6705C-DF12-41F1-8529-2E441BA66B1B}"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6:D10"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Average of Income" fld="2" subtotal="average" baseField="0"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64F6A6-70AA-4668-B905-3EEC3790542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I19" firstHeaderRow="1" firstDataRow="1" firstDataCol="0"/>
  <pivotFields count="1">
    <pivotField dataField="1" subtotalTop="0" showAll="0" defaultSubtotal="0"/>
  </pivotFields>
  <rowItems count="1">
    <i/>
  </rowItems>
  <colItems count="1">
    <i/>
  </colItems>
  <dataFields count="1">
    <dataField name="Average of Income" fld="0" subtotal="average" baseField="0" baseItem="0" numFmtId="165"/>
  </dataFields>
  <formats count="1">
    <format dxfId="1">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caption="Count of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2E17B7-4996-4E4D-A1AC-9E4968A2C8C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D55"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51F66-85CF-4F3D-9CAE-2093D0C7D42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urchased Bike" fld="1"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F1982D-0777-4423-9810-61E66B1466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1">
    <pivotField dataField="1" subtotalTop="0" showAll="0" defaultSubtotal="0"/>
  </pivotFields>
  <rowItems count="1">
    <i/>
  </rowItems>
  <colItems count="1">
    <i/>
  </colItems>
  <dataFields count="1">
    <dataField name="Count of ID" fld="0"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01B144-01DE-4FA8-8A8B-6FAF7835B70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5"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name="Count of Purchased Bike" fld="2"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062678-3D72-4DB7-9193-D5656D0093F8}"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9:D86"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6068A2-CE83-482D-BCD2-42242B497808}"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5:B3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Income" fld="1" subtotal="average"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A7F99F-7B60-4DE6-B906-AB84911D5927}" sourceName="[Range].[Gender]">
  <pivotTables>
    <pivotTable tabId="3" name="PivotTable1"/>
    <pivotTable tabId="3" name="PivotTable2"/>
    <pivotTable tabId="3" name="PivotTable4"/>
    <pivotTable tabId="3" name="PivotTable5"/>
    <pivotTable tabId="3" name="PivotTable6"/>
  </pivotTables>
  <data>
    <olap pivotCacheId="1079930783">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561A6F3-BE6F-47CB-8709-843FCE8CB4BD}" sourceName="[Range].[Marital Status]">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Marital Status].[(All)]" sourceCaption="(All)" count="0"/>
        <level uniqueName="[Range].[Marital Status].[Marital Status]" sourceCaption="Marital Status" count="2">
          <ranges>
            <range startItem="0">
              <i n="[Range].[Marital Status].&amp;[Married]" c="Married"/>
              <i n="[Range].[Marital Status].&amp;[Single]" c="Single"/>
            </range>
          </ranges>
        </level>
      </levels>
      <selections count="1">
        <selection n="[Range].[Marital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8BF1D82-4F8F-45C7-811A-A5DDE7BCCC4C}" sourceName="[Range].[Education]">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C4375F-073F-4B43-A4F2-E937C098773B}" sourceName="[Range].[Region]">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6E17386-7D54-4066-BA64-F59AE6103AF1}" cache="Slicer_Gender" caption="Gender" level="1" rowHeight="234950"/>
  <slicer name="Marital Status" xr10:uid="{7F7F1977-88B7-4704-A759-F2758E9767A5}" cache="Slicer_Marital_Status" caption="Marital Status" level="1" rowHeight="234950"/>
  <slicer name="Education" xr10:uid="{66117A5B-B3A2-429A-9666-3380697BDAC1}" cache="Slicer_Education" caption="Education" level="1" rowHeight="234950"/>
  <slicer name="Region" xr10:uid="{71D4A8D6-2DCF-419B-AB9F-219911005F7C}" cache="Slicer_Region" caption="Region" level="1" rowHeight="23495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016" sqref="O1016"/>
    </sheetView>
  </sheetViews>
  <sheetFormatPr defaultColWidth="11.796875" defaultRowHeight="13.8" x14ac:dyDescent="0.25"/>
  <cols>
    <col min="13" max="13" width="15.3984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FBA76-FCFC-48C9-A00F-2408A19A6F50}">
  <dimension ref="A1:N1001"/>
  <sheetViews>
    <sheetView tabSelected="1" workbookViewId="0">
      <selection activeCell="E9" sqref="E9"/>
    </sheetView>
  </sheetViews>
  <sheetFormatPr defaultRowHeight="13.8" x14ac:dyDescent="0.25"/>
  <cols>
    <col min="1" max="1" width="10.296875" customWidth="1"/>
    <col min="2" max="2" width="15.296875" customWidth="1"/>
    <col min="3" max="3" width="10.59765625" customWidth="1"/>
    <col min="4" max="4" width="14.296875" style="3" customWidth="1"/>
    <col min="5" max="5" width="12.69921875" customWidth="1"/>
    <col min="6" max="6" width="16.09765625" customWidth="1"/>
    <col min="7" max="7" width="14.296875" customWidth="1"/>
    <col min="8" max="8" width="14.09765625" customWidth="1"/>
    <col min="9" max="9" width="9" customWidth="1"/>
    <col min="10" max="10" width="19.5" customWidth="1"/>
    <col min="11" max="11" width="12.796875" customWidth="1"/>
    <col min="12" max="12" width="9" customWidth="1"/>
    <col min="13" max="13" width="17.09765625" customWidth="1"/>
    <col min="14" max="14" width="16.8984375" customWidth="1"/>
  </cols>
  <sheetData>
    <row r="1" spans="1:14" x14ac:dyDescent="0.25">
      <c r="A1" t="s">
        <v>0</v>
      </c>
      <c r="B1" t="s">
        <v>1</v>
      </c>
      <c r="C1" t="s">
        <v>2</v>
      </c>
      <c r="D1" s="3" t="s">
        <v>3</v>
      </c>
      <c r="E1" t="s">
        <v>4</v>
      </c>
      <c r="F1" t="s">
        <v>5</v>
      </c>
      <c r="G1" t="s">
        <v>6</v>
      </c>
      <c r="H1" t="s">
        <v>7</v>
      </c>
      <c r="I1" t="s">
        <v>8</v>
      </c>
      <c r="J1" t="s">
        <v>9</v>
      </c>
      <c r="K1" t="s">
        <v>10</v>
      </c>
      <c r="L1" t="s">
        <v>11</v>
      </c>
      <c r="M1" t="s">
        <v>41</v>
      </c>
      <c r="N1" t="s">
        <v>12</v>
      </c>
    </row>
    <row r="2" spans="1:14" x14ac:dyDescent="0.25">
      <c r="A2">
        <v>12496</v>
      </c>
      <c r="B2" t="s">
        <v>36</v>
      </c>
      <c r="C2" t="s">
        <v>38</v>
      </c>
      <c r="D2" s="3">
        <v>40000</v>
      </c>
      <c r="E2">
        <v>1</v>
      </c>
      <c r="F2" t="s">
        <v>13</v>
      </c>
      <c r="G2" t="s">
        <v>14</v>
      </c>
      <c r="H2" t="s">
        <v>15</v>
      </c>
      <c r="I2">
        <v>0</v>
      </c>
      <c r="J2" t="s">
        <v>16</v>
      </c>
      <c r="K2" t="s">
        <v>17</v>
      </c>
      <c r="L2">
        <v>42</v>
      </c>
      <c r="M2" t="str">
        <f>IF(L2&gt;54,"Old", 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 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 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40</v>
      </c>
      <c r="K195" t="s">
        <v>24</v>
      </c>
      <c r="L195">
        <v>41</v>
      </c>
      <c r="M195" t="str">
        <f t="shared" ref="M195:M258" si="3">IF(L195&gt;54,"Old", 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40</v>
      </c>
      <c r="K515" t="s">
        <v>32</v>
      </c>
      <c r="L515">
        <v>61</v>
      </c>
      <c r="M515" t="str">
        <f t="shared" ref="M515:M578" si="8">IF(L515&gt;54,"Old", 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40</v>
      </c>
      <c r="K643" t="s">
        <v>32</v>
      </c>
      <c r="L643">
        <v>64</v>
      </c>
      <c r="M643" t="str">
        <f t="shared" ref="M643:M706" si="10">IF(L643&gt;54,"Old", 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40</v>
      </c>
      <c r="K707" t="s">
        <v>32</v>
      </c>
      <c r="L707">
        <v>59</v>
      </c>
      <c r="M707" t="str">
        <f t="shared" ref="M707:M770" si="11">IF(L707&gt;54,"Old", 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 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40</v>
      </c>
      <c r="K1001" t="s">
        <v>32</v>
      </c>
      <c r="L1001">
        <v>53</v>
      </c>
      <c r="M1001" t="str">
        <f t="shared" si="15"/>
        <v>Middle Age</v>
      </c>
      <c r="N1001" t="s">
        <v>15</v>
      </c>
    </row>
  </sheetData>
  <autoFilter ref="A1:N1001" xr:uid="{D00FBA76-FCFC-48C9-A00F-2408A19A6F5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5170C-BAAE-42D9-90A2-7AFDC7466318}">
  <dimension ref="A3:J86"/>
  <sheetViews>
    <sheetView workbookViewId="0">
      <selection activeCell="H13" sqref="H13"/>
    </sheetView>
  </sheetViews>
  <sheetFormatPr defaultRowHeight="13.8" x14ac:dyDescent="0.25"/>
  <cols>
    <col min="1" max="1" width="18.3984375" bestFit="1" customWidth="1"/>
    <col min="2" max="2" width="18.59765625" customWidth="1"/>
    <col min="3" max="3" width="7.3984375" bestFit="1" customWidth="1"/>
    <col min="4" max="4" width="11.09765625" bestFit="1" customWidth="1"/>
    <col min="5" max="5" width="14.296875" customWidth="1"/>
    <col min="6" max="7" width="27.3984375" customWidth="1"/>
    <col min="8" max="8" width="19" customWidth="1"/>
    <col min="9" max="9" width="18.3984375" customWidth="1"/>
    <col min="10" max="10" width="22.69921875" bestFit="1" customWidth="1"/>
    <col min="11" max="11" width="13.796875" customWidth="1"/>
  </cols>
  <sheetData>
    <row r="3" spans="1:10" x14ac:dyDescent="0.25">
      <c r="I3" t="s">
        <v>51</v>
      </c>
    </row>
    <row r="4" spans="1:10" x14ac:dyDescent="0.25">
      <c r="I4" t="s">
        <v>50</v>
      </c>
    </row>
    <row r="5" spans="1:10" x14ac:dyDescent="0.25">
      <c r="A5" t="s">
        <v>55</v>
      </c>
      <c r="I5">
        <v>1000</v>
      </c>
    </row>
    <row r="6" spans="1:10" x14ac:dyDescent="0.25">
      <c r="A6" s="4" t="s">
        <v>49</v>
      </c>
      <c r="B6" s="4" t="s">
        <v>44</v>
      </c>
    </row>
    <row r="7" spans="1:10" x14ac:dyDescent="0.25">
      <c r="A7" s="4" t="s">
        <v>42</v>
      </c>
      <c r="B7" t="s">
        <v>18</v>
      </c>
      <c r="C7" t="s">
        <v>15</v>
      </c>
      <c r="D7" t="s">
        <v>43</v>
      </c>
    </row>
    <row r="8" spans="1:10" x14ac:dyDescent="0.25">
      <c r="A8" s="5" t="s">
        <v>38</v>
      </c>
      <c r="B8" s="3">
        <v>53440</v>
      </c>
      <c r="C8" s="3">
        <v>55774.058577405856</v>
      </c>
      <c r="D8" s="3">
        <v>54580.777096114522</v>
      </c>
      <c r="I8" t="s">
        <v>52</v>
      </c>
    </row>
    <row r="9" spans="1:10" x14ac:dyDescent="0.25">
      <c r="A9" s="5" t="s">
        <v>39</v>
      </c>
      <c r="B9" s="3">
        <v>56208.178438661707</v>
      </c>
      <c r="C9" s="3">
        <v>60123.966942148763</v>
      </c>
      <c r="D9" s="3">
        <v>58062.62230919765</v>
      </c>
      <c r="I9" s="4" t="s">
        <v>42</v>
      </c>
      <c r="J9" t="s">
        <v>45</v>
      </c>
    </row>
    <row r="10" spans="1:10" x14ac:dyDescent="0.25">
      <c r="A10" s="5" t="s">
        <v>43</v>
      </c>
      <c r="B10" s="3">
        <v>54874.759152215796</v>
      </c>
      <c r="C10" s="3">
        <v>57962.577962577961</v>
      </c>
      <c r="D10" s="3">
        <v>56360</v>
      </c>
      <c r="I10" s="5" t="s">
        <v>18</v>
      </c>
      <c r="J10">
        <v>519</v>
      </c>
    </row>
    <row r="11" spans="1:10" x14ac:dyDescent="0.25">
      <c r="I11" s="5" t="s">
        <v>15</v>
      </c>
      <c r="J11">
        <v>481</v>
      </c>
    </row>
    <row r="12" spans="1:10" x14ac:dyDescent="0.25">
      <c r="I12" s="5" t="s">
        <v>43</v>
      </c>
      <c r="J12">
        <v>1000</v>
      </c>
    </row>
    <row r="17" spans="1:9" x14ac:dyDescent="0.25">
      <c r="I17" t="s">
        <v>49</v>
      </c>
    </row>
    <row r="18" spans="1:9" x14ac:dyDescent="0.25">
      <c r="I18" t="s">
        <v>49</v>
      </c>
    </row>
    <row r="19" spans="1:9" x14ac:dyDescent="0.25">
      <c r="A19" t="s">
        <v>56</v>
      </c>
      <c r="I19" s="3">
        <v>56360</v>
      </c>
    </row>
    <row r="20" spans="1:9" x14ac:dyDescent="0.25">
      <c r="A20" s="4" t="s">
        <v>45</v>
      </c>
      <c r="B20" s="4" t="s">
        <v>44</v>
      </c>
    </row>
    <row r="21" spans="1:9" x14ac:dyDescent="0.25">
      <c r="A21" s="4" t="s">
        <v>42</v>
      </c>
      <c r="B21" t="s">
        <v>18</v>
      </c>
      <c r="C21" t="s">
        <v>15</v>
      </c>
      <c r="D21" t="s">
        <v>43</v>
      </c>
    </row>
    <row r="22" spans="1:9" x14ac:dyDescent="0.25">
      <c r="A22" s="5" t="s">
        <v>46</v>
      </c>
      <c r="B22">
        <v>71</v>
      </c>
      <c r="C22">
        <v>39</v>
      </c>
      <c r="D22">
        <v>110</v>
      </c>
    </row>
    <row r="23" spans="1:9" x14ac:dyDescent="0.25">
      <c r="A23" s="5" t="s">
        <v>47</v>
      </c>
      <c r="B23">
        <v>318</v>
      </c>
      <c r="C23">
        <v>383</v>
      </c>
      <c r="D23">
        <v>701</v>
      </c>
    </row>
    <row r="24" spans="1:9" x14ac:dyDescent="0.25">
      <c r="A24" s="5" t="s">
        <v>48</v>
      </c>
      <c r="B24">
        <v>130</v>
      </c>
      <c r="C24">
        <v>59</v>
      </c>
      <c r="D24">
        <v>189</v>
      </c>
    </row>
    <row r="25" spans="1:9" x14ac:dyDescent="0.25">
      <c r="A25" s="5" t="s">
        <v>43</v>
      </c>
      <c r="B25">
        <v>519</v>
      </c>
      <c r="C25">
        <v>481</v>
      </c>
      <c r="D25">
        <v>1000</v>
      </c>
    </row>
    <row r="26" spans="1:9" x14ac:dyDescent="0.25">
      <c r="A26" s="5"/>
    </row>
    <row r="27" spans="1:9" x14ac:dyDescent="0.25">
      <c r="A27" s="5"/>
    </row>
    <row r="28" spans="1:9" x14ac:dyDescent="0.25">
      <c r="A28" s="5"/>
    </row>
    <row r="29" spans="1:9" x14ac:dyDescent="0.25">
      <c r="A29" s="5"/>
    </row>
    <row r="30" spans="1:9" x14ac:dyDescent="0.25">
      <c r="A30" s="5"/>
    </row>
    <row r="31" spans="1:9" x14ac:dyDescent="0.25">
      <c r="A31" s="5"/>
    </row>
    <row r="34" spans="1:9" x14ac:dyDescent="0.25">
      <c r="A34" t="s">
        <v>57</v>
      </c>
    </row>
    <row r="35" spans="1:9" x14ac:dyDescent="0.25">
      <c r="A35" s="4" t="s">
        <v>42</v>
      </c>
      <c r="B35" t="s">
        <v>49</v>
      </c>
    </row>
    <row r="36" spans="1:9" x14ac:dyDescent="0.25">
      <c r="A36" s="5" t="s">
        <v>18</v>
      </c>
      <c r="B36" s="3">
        <v>54874.759152215796</v>
      </c>
    </row>
    <row r="37" spans="1:9" x14ac:dyDescent="0.25">
      <c r="A37" s="5" t="s">
        <v>15</v>
      </c>
      <c r="B37" s="3">
        <v>57962.577962577961</v>
      </c>
    </row>
    <row r="38" spans="1:9" x14ac:dyDescent="0.25">
      <c r="A38" s="5" t="s">
        <v>43</v>
      </c>
      <c r="B38" s="3">
        <v>56360</v>
      </c>
    </row>
    <row r="39" spans="1:9" x14ac:dyDescent="0.25">
      <c r="I39" s="3"/>
    </row>
    <row r="40" spans="1:9" x14ac:dyDescent="0.25">
      <c r="I40" s="3"/>
    </row>
    <row r="41" spans="1:9" x14ac:dyDescent="0.25">
      <c r="I41" s="3"/>
    </row>
    <row r="48" spans="1:9" x14ac:dyDescent="0.25">
      <c r="A48" s="4" t="s">
        <v>45</v>
      </c>
      <c r="B48" s="4" t="s">
        <v>44</v>
      </c>
    </row>
    <row r="49" spans="1:4" x14ac:dyDescent="0.25">
      <c r="A49" s="4" t="s">
        <v>42</v>
      </c>
      <c r="B49" t="s">
        <v>18</v>
      </c>
      <c r="C49" t="s">
        <v>15</v>
      </c>
      <c r="D49" t="s">
        <v>43</v>
      </c>
    </row>
    <row r="50" spans="1:4" x14ac:dyDescent="0.25">
      <c r="A50" s="5" t="s">
        <v>16</v>
      </c>
      <c r="B50">
        <v>166</v>
      </c>
      <c r="C50">
        <v>200</v>
      </c>
      <c r="D50">
        <v>366</v>
      </c>
    </row>
    <row r="51" spans="1:4" x14ac:dyDescent="0.25">
      <c r="A51" s="5" t="s">
        <v>26</v>
      </c>
      <c r="B51">
        <v>92</v>
      </c>
      <c r="C51">
        <v>77</v>
      </c>
      <c r="D51">
        <v>169</v>
      </c>
    </row>
    <row r="52" spans="1:4" x14ac:dyDescent="0.25">
      <c r="A52" s="5" t="s">
        <v>22</v>
      </c>
      <c r="B52">
        <v>67</v>
      </c>
      <c r="C52">
        <v>95</v>
      </c>
      <c r="D52">
        <v>162</v>
      </c>
    </row>
    <row r="53" spans="1:4" x14ac:dyDescent="0.25">
      <c r="A53" s="5" t="s">
        <v>23</v>
      </c>
      <c r="B53">
        <v>116</v>
      </c>
      <c r="C53">
        <v>76</v>
      </c>
      <c r="D53">
        <v>192</v>
      </c>
    </row>
    <row r="54" spans="1:4" x14ac:dyDescent="0.25">
      <c r="A54" s="5" t="s">
        <v>40</v>
      </c>
      <c r="B54">
        <v>78</v>
      </c>
      <c r="C54">
        <v>33</v>
      </c>
      <c r="D54">
        <v>111</v>
      </c>
    </row>
    <row r="55" spans="1:4" x14ac:dyDescent="0.25">
      <c r="A55" s="5" t="s">
        <v>43</v>
      </c>
      <c r="B55">
        <v>519</v>
      </c>
      <c r="C55">
        <v>481</v>
      </c>
      <c r="D55">
        <v>1000</v>
      </c>
    </row>
    <row r="62" spans="1:4" x14ac:dyDescent="0.25">
      <c r="A62" t="s">
        <v>58</v>
      </c>
    </row>
    <row r="63" spans="1:4" x14ac:dyDescent="0.25">
      <c r="A63" s="4" t="s">
        <v>45</v>
      </c>
      <c r="B63" s="4" t="s">
        <v>44</v>
      </c>
    </row>
    <row r="64" spans="1:4" x14ac:dyDescent="0.25">
      <c r="A64" s="4" t="s">
        <v>42</v>
      </c>
      <c r="B64" t="s">
        <v>18</v>
      </c>
      <c r="C64" t="s">
        <v>15</v>
      </c>
      <c r="D64" t="s">
        <v>43</v>
      </c>
    </row>
    <row r="65" spans="1:4" x14ac:dyDescent="0.25">
      <c r="A65" s="5" t="s">
        <v>20</v>
      </c>
      <c r="B65">
        <v>89</v>
      </c>
      <c r="C65">
        <v>88</v>
      </c>
      <c r="D65">
        <v>177</v>
      </c>
    </row>
    <row r="66" spans="1:4" x14ac:dyDescent="0.25">
      <c r="A66" s="5" t="s">
        <v>28</v>
      </c>
      <c r="B66">
        <v>100</v>
      </c>
      <c r="C66">
        <v>73</v>
      </c>
      <c r="D66">
        <v>173</v>
      </c>
    </row>
    <row r="67" spans="1:4" x14ac:dyDescent="0.25">
      <c r="A67" s="5" t="s">
        <v>25</v>
      </c>
      <c r="B67">
        <v>64</v>
      </c>
      <c r="C67">
        <v>55</v>
      </c>
      <c r="D67">
        <v>119</v>
      </c>
    </row>
    <row r="68" spans="1:4" x14ac:dyDescent="0.25">
      <c r="A68" s="5" t="s">
        <v>21</v>
      </c>
      <c r="B68">
        <v>126</v>
      </c>
      <c r="C68">
        <v>150</v>
      </c>
      <c r="D68">
        <v>276</v>
      </c>
    </row>
    <row r="69" spans="1:4" x14ac:dyDescent="0.25">
      <c r="A69" s="5" t="s">
        <v>14</v>
      </c>
      <c r="B69">
        <v>140</v>
      </c>
      <c r="C69">
        <v>115</v>
      </c>
      <c r="D69">
        <v>255</v>
      </c>
    </row>
    <row r="70" spans="1:4" x14ac:dyDescent="0.25">
      <c r="A70" s="5" t="s">
        <v>43</v>
      </c>
      <c r="B70">
        <v>519</v>
      </c>
      <c r="C70">
        <v>481</v>
      </c>
      <c r="D70">
        <v>1000</v>
      </c>
    </row>
    <row r="78" spans="1:4" x14ac:dyDescent="0.25">
      <c r="A78" t="s">
        <v>59</v>
      </c>
    </row>
    <row r="79" spans="1:4" x14ac:dyDescent="0.25">
      <c r="A79" s="4" t="s">
        <v>45</v>
      </c>
      <c r="B79" s="4" t="s">
        <v>44</v>
      </c>
    </row>
    <row r="80" spans="1:4" x14ac:dyDescent="0.25">
      <c r="A80" s="4" t="s">
        <v>42</v>
      </c>
      <c r="B80" t="s">
        <v>18</v>
      </c>
      <c r="C80" t="s">
        <v>15</v>
      </c>
      <c r="D80" t="s">
        <v>43</v>
      </c>
    </row>
    <row r="81" spans="1:4" x14ac:dyDescent="0.25">
      <c r="A81" s="5" t="s">
        <v>13</v>
      </c>
      <c r="B81">
        <v>137</v>
      </c>
      <c r="C81">
        <v>169</v>
      </c>
      <c r="D81">
        <v>306</v>
      </c>
    </row>
    <row r="82" spans="1:4" x14ac:dyDescent="0.25">
      <c r="A82" s="5" t="s">
        <v>31</v>
      </c>
      <c r="B82">
        <v>80</v>
      </c>
      <c r="C82">
        <v>94</v>
      </c>
      <c r="D82">
        <v>174</v>
      </c>
    </row>
    <row r="83" spans="1:4" x14ac:dyDescent="0.25">
      <c r="A83" s="5" t="s">
        <v>27</v>
      </c>
      <c r="B83">
        <v>100</v>
      </c>
      <c r="C83">
        <v>79</v>
      </c>
      <c r="D83">
        <v>179</v>
      </c>
    </row>
    <row r="84" spans="1:4" x14ac:dyDescent="0.25">
      <c r="A84" s="5" t="s">
        <v>19</v>
      </c>
      <c r="B84">
        <v>146</v>
      </c>
      <c r="C84">
        <v>119</v>
      </c>
      <c r="D84">
        <v>265</v>
      </c>
    </row>
    <row r="85" spans="1:4" x14ac:dyDescent="0.25">
      <c r="A85" s="5" t="s">
        <v>29</v>
      </c>
      <c r="B85">
        <v>56</v>
      </c>
      <c r="C85">
        <v>20</v>
      </c>
      <c r="D85">
        <v>76</v>
      </c>
    </row>
    <row r="86" spans="1:4" x14ac:dyDescent="0.25">
      <c r="A86" s="5" t="s">
        <v>43</v>
      </c>
      <c r="B86">
        <v>519</v>
      </c>
      <c r="C86">
        <v>481</v>
      </c>
      <c r="D86">
        <v>1000</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B6F15-1B4D-4089-B2F4-512E3A34D3AB}">
  <dimension ref="B5:O7"/>
  <sheetViews>
    <sheetView showGridLines="0" zoomScale="98" workbookViewId="0">
      <selection activeCell="N7" sqref="N7"/>
    </sheetView>
  </sheetViews>
  <sheetFormatPr defaultRowHeight="13.8" x14ac:dyDescent="0.25"/>
  <cols>
    <col min="1" max="1" width="4.3984375" customWidth="1"/>
    <col min="2" max="2" width="25.69921875" customWidth="1"/>
    <col min="3" max="3" width="6" customWidth="1"/>
    <col min="4" max="4" width="10.296875" customWidth="1"/>
    <col min="5" max="5" width="8" customWidth="1"/>
    <col min="6" max="6" width="25.69921875" customWidth="1"/>
    <col min="7" max="7" width="6.3984375" customWidth="1"/>
    <col min="8" max="8" width="6" customWidth="1"/>
    <col min="9" max="9" width="7.19921875" customWidth="1"/>
    <col min="10" max="10" width="5.59765625" customWidth="1"/>
    <col min="11" max="11" width="25.69921875" customWidth="1"/>
    <col min="12" max="12" width="8.59765625" customWidth="1"/>
    <col min="13" max="13" width="6.09765625" customWidth="1"/>
    <col min="14" max="14" width="11.3984375" customWidth="1"/>
    <col min="15" max="15" width="24.09765625" customWidth="1"/>
    <col min="16" max="16" width="4.3984375" customWidth="1"/>
  </cols>
  <sheetData>
    <row r="5" spans="2:15" ht="14.4" thickBot="1" x14ac:dyDescent="0.3"/>
    <row r="6" spans="2:15" ht="31.2" customHeight="1" x14ac:dyDescent="0.25">
      <c r="B6" s="6" t="s">
        <v>51</v>
      </c>
      <c r="F6" s="6" t="s">
        <v>52</v>
      </c>
      <c r="K6" s="6" t="s">
        <v>53</v>
      </c>
      <c r="O6" s="6" t="s">
        <v>54</v>
      </c>
    </row>
    <row r="7" spans="2:15" ht="31.8" customHeight="1" thickBot="1" x14ac:dyDescent="0.3">
      <c r="B7" s="7">
        <f>GETPIVOTDATA("[Measures].[Count of ID]",'Pivot Table'!$I$4)</f>
        <v>1000</v>
      </c>
      <c r="F7" s="7">
        <f>GETPIVOTDATA("[Measures].[Count of Purchased Bike]",'Pivot Table'!$I$9,"[Range].[Purchased Bike]","[Range].[Purchased Bike].&amp;[Yes]")</f>
        <v>481</v>
      </c>
      <c r="K7" s="8">
        <f>F7/B7</f>
        <v>0.48099999999999998</v>
      </c>
      <c r="O7" s="9">
        <f>GETPIVOTDATA("[Measures].[Average of Income]",'Pivot Table'!$I$18)</f>
        <v>56360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Buyers (raw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 Chusnul I</dc:creator>
  <cp:lastModifiedBy>nadia chusnul</cp:lastModifiedBy>
  <dcterms:created xsi:type="dcterms:W3CDTF">2022-03-18T02:50:57Z</dcterms:created>
  <dcterms:modified xsi:type="dcterms:W3CDTF">2026-06-21T04:42:03Z</dcterms:modified>
</cp:coreProperties>
</file>